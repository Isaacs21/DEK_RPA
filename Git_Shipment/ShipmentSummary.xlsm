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130" codeName="{AE6600E7-7A62-396C-DE95-9942FA9DD81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https://digitaledgeasia-my.sharepoint.com/personal/isaac_shin_digitaledgedc_com/Documents/문서/UiPath/.repositories/DEK_RPA/Git_Shipment/"/>
    </mc:Choice>
  </mc:AlternateContent>
  <xr:revisionPtr revIDLastSave="130" documentId="8_{B3461D10-0AC6-4053-8C6A-2E967DC7521E}" xr6:coauthVersionLast="47" xr6:coauthVersionMax="47" xr10:uidLastSave="{F26BE381-4EB4-4C8B-A4D3-FCAFB2FE8CF8}"/>
  <bookViews>
    <workbookView xWindow="33720" yWindow="-120" windowWidth="51840" windowHeight="21840" activeTab="1" xr2:uid="{8B1725A7-9C4D-4573-A9FA-0F242F67C6A3}"/>
  </bookViews>
  <sheets>
    <sheet name="ShipmentDownload" sheetId="3" r:id="rId1"/>
    <sheet name="Summary" sheetId="4" r:id="rId2"/>
  </sheets>
  <definedNames>
    <definedName name="_xlnm._FilterDatabase" localSheetId="0" hidden="1">ShipmentDownload!$A$1:$K$37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4" l="1"/>
  <c r="A2" i="4"/>
  <c r="A5" i="4" l="1"/>
  <c r="A4" i="4"/>
  <c r="A6" i="4" l="1"/>
</calcChain>
</file>

<file path=xl/sharedStrings.xml><?xml version="1.0" encoding="utf-8"?>
<sst xmlns="http://schemas.openxmlformats.org/spreadsheetml/2006/main" count="203" uniqueCount="90">
  <si>
    <t>Created Date Time</t>
  </si>
  <si>
    <t>Ticket No</t>
  </si>
  <si>
    <t>Ticket Type</t>
    <phoneticPr fontId="1" type="noConversion"/>
  </si>
  <si>
    <t>Attachments : SiteAccessVisitReport</t>
    <phoneticPr fontId="1" type="noConversion"/>
  </si>
  <si>
    <t>Requester</t>
    <phoneticPr fontId="1" type="noConversion"/>
  </si>
  <si>
    <t>Status</t>
    <phoneticPr fontId="1" type="noConversion"/>
  </si>
  <si>
    <t>​</t>
    <phoneticPr fontId="1" type="noConversion"/>
  </si>
  <si>
    <t>Ticket ID</t>
    <phoneticPr fontId="1" type="noConversion"/>
  </si>
  <si>
    <t>Ticket Name</t>
    <phoneticPr fontId="1" type="noConversion"/>
  </si>
  <si>
    <t>Severity</t>
    <phoneticPr fontId="1" type="noConversion"/>
  </si>
  <si>
    <t>Ticket Sub-Type</t>
    <phoneticPr fontId="1" type="noConversion"/>
  </si>
  <si>
    <t>Customer</t>
    <phoneticPr fontId="1" type="noConversion"/>
  </si>
  <si>
    <t>Assigned to</t>
    <phoneticPr fontId="1" type="noConversion"/>
  </si>
  <si>
    <t>Stage</t>
    <phoneticPr fontId="1" type="noConversion"/>
  </si>
  <si>
    <t>Visitor name</t>
    <phoneticPr fontId="1" type="noConversion"/>
  </si>
  <si>
    <t>Created on</t>
  </si>
  <si>
    <t>unchecked
​</t>
  </si>
  <si>
    <t>[DLRY-1091] Anexia hardware delivery</t>
  </si>
  <si>
    <t>S-4</t>
  </si>
  <si>
    <t>Lucian Cioltan</t>
  </si>
  <si>
    <t>Approved</t>
  </si>
  <si>
    <t>02-Sep-2023 01:29:17</t>
  </si>
  <si>
    <t>퀵 수령</t>
  </si>
  <si>
    <t>문민주</t>
  </si>
  <si>
    <t>Completed</t>
  </si>
  <si>
    <t>24-Aug-2023 08:29:11</t>
  </si>
  <si>
    <t>부수자재 보관 요청</t>
  </si>
  <si>
    <t>16-Aug-2023 17:58:12</t>
  </si>
  <si>
    <t>[Email][PCCW] One box of 92 x optics</t>
  </si>
  <si>
    <t>Charge Temp Storage</t>
  </si>
  <si>
    <t>15-Aug-2023 14:05:56</t>
  </si>
  <si>
    <t>장비배송</t>
  </si>
  <si>
    <t>10-Aug-2023 12:55:13</t>
  </si>
  <si>
    <t>[Email][PCCW] 3 Cartons (SFP)</t>
  </si>
  <si>
    <t>usnoc@pccwglobal.com</t>
  </si>
  <si>
    <t>Free Temp Storage</t>
  </si>
  <si>
    <t>20-Jul-2023 11:31:40</t>
  </si>
  <si>
    <t>Lumen Korea Shipment going to SEL1</t>
  </si>
  <si>
    <t>S-3</t>
  </si>
  <si>
    <t>박용서</t>
  </si>
  <si>
    <t>19-Jul-2023 11:29:55</t>
  </si>
  <si>
    <t>Receive cable</t>
  </si>
  <si>
    <t>Hwang Nam Du</t>
  </si>
  <si>
    <t>13-Jul-2023 13:11:33</t>
  </si>
  <si>
    <t>[Lumen Korea] Juniper Module</t>
  </si>
  <si>
    <t>13-Jul-2023 10:38:20</t>
  </si>
  <si>
    <t>소모품 박스 보관 요청(퀵배송)</t>
  </si>
  <si>
    <t>Cancelled</t>
  </si>
  <si>
    <t>06-Jul-2023 16:24:21</t>
  </si>
  <si>
    <t>Receive fiber cables</t>
  </si>
  <si>
    <t>06-Jul-2023 09:45:06</t>
  </si>
  <si>
    <t>SEL1 BMS용 네트워크 장비</t>
  </si>
  <si>
    <t>DEK SEL1</t>
  </si>
  <si>
    <t>04-Jul-2023 12:17:17</t>
  </si>
  <si>
    <t>Receive AC power cables</t>
  </si>
  <si>
    <t>정진환 부장</t>
  </si>
  <si>
    <t>03-Jul-2023 14:16:57</t>
  </si>
  <si>
    <t>장비 보관요청</t>
  </si>
  <si>
    <t>20-Jun-2023 14:47:23</t>
  </si>
  <si>
    <t>20-Jun-2023 12:03:58</t>
  </si>
  <si>
    <t>Receive part for Syniverse</t>
  </si>
  <si>
    <t>13-Jun-2023 16:41:39</t>
  </si>
  <si>
    <t>케이블 배송건</t>
  </si>
  <si>
    <t>09-Jun-2023 09:57:44</t>
  </si>
  <si>
    <t>헥토파이낸셜 철제선반반입</t>
  </si>
  <si>
    <t>박태호</t>
  </si>
  <si>
    <t>25-May-2023 14:22:50</t>
  </si>
  <si>
    <t>[TEST] Shipment Ticket - Outbound - SEL1 - with Loading Dock</t>
  </si>
  <si>
    <t>DEK Cross Connect</t>
  </si>
  <si>
    <t>18-May-2023 18:48:51</t>
  </si>
  <si>
    <t>[TEST] Shipment Inbound - 20230518001 with No Loading Dock</t>
  </si>
  <si>
    <t>18-May-2023 18:46:58</t>
  </si>
  <si>
    <t>자재보관 요청건(10x10cm 덕트 20개)</t>
  </si>
  <si>
    <t>12-May-2023 11:14:59</t>
  </si>
  <si>
    <t>shipping for Syniverse (4F rack SEL1-4-1-S-010-C206 (4F-M16))</t>
  </si>
  <si>
    <t>09-May-2023 14:09:01</t>
  </si>
  <si>
    <t>[TEST] Shipment Outbound (20230420-001)</t>
  </si>
  <si>
    <t>Rolland Wong (TEST)</t>
  </si>
  <si>
    <t>20-Apr-2023 20:27:24</t>
  </si>
  <si>
    <t>SFP module shipping for Syniverse (4F rack SEL1-4-1-S-010-C206 (4F-M16))</t>
  </si>
  <si>
    <t>11-Apr-2023 15:04:02</t>
  </si>
  <si>
    <t>Text</t>
    <phoneticPr fontId="1" type="noConversion"/>
  </si>
  <si>
    <t>Sep</t>
  </si>
  <si>
    <t>Aug</t>
  </si>
  <si>
    <t>Jul</t>
  </si>
  <si>
    <t>Jun</t>
  </si>
  <si>
    <t>May</t>
  </si>
  <si>
    <t>Apr</t>
  </si>
  <si>
    <t/>
  </si>
  <si>
    <t>May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</si>
</sst>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8"/>
      <color rgb="FFF2F2F2"/>
      <name val="Noto Sans"/>
      <family val="2"/>
    </font>
    <font>
      <sz val="8"/>
      <color rgb="FF010028"/>
      <name val="Noto Sans"/>
      <family val="2"/>
    </font>
    <font>
      <sz val="8"/>
      <color rgb="FF010028"/>
      <name val="바탕"/>
      <family val="1"/>
      <charset val="129"/>
    </font>
    <font>
      <b/>
      <sz val="8"/>
      <color rgb="FF010028"/>
      <name val="Noto Sans"/>
      <family val="2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b/>
      <sz val="11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42AA6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medium">
        <color rgb="FF042AA6"/>
      </left>
      <right style="medium">
        <color rgb="FF042AA6"/>
      </right>
      <top style="medium">
        <color rgb="FF042AA6"/>
      </top>
      <bottom style="medium">
        <color rgb="FF042AA6"/>
      </bottom>
      <diagonal/>
    </border>
    <border>
      <left/>
      <right style="medium">
        <color rgb="FF042AA6"/>
      </right>
      <top style="medium">
        <color rgb="FF042AA6"/>
      </top>
      <bottom style="medium">
        <color rgb="FF042AA6"/>
      </bottom>
      <diagonal/>
    </border>
    <border>
      <left style="medium">
        <color rgb="FF042AA6"/>
      </left>
      <right style="medium">
        <color rgb="FF042AA6"/>
      </right>
      <top/>
      <bottom style="medium">
        <color rgb="FF042AA6"/>
      </bottom>
      <diagonal/>
    </border>
    <border>
      <left/>
      <right style="medium">
        <color rgb="FF042AA6"/>
      </right>
      <top/>
      <bottom style="medium">
        <color rgb="FF042AA6"/>
      </bottom>
      <diagonal/>
    </border>
    <border>
      <left style="medium">
        <color rgb="FF042AA6"/>
      </left>
      <right/>
      <top/>
      <bottom style="medium">
        <color rgb="FF042AA6"/>
      </bottom>
      <diagonal/>
    </border>
    <border>
      <left/>
      <right/>
      <top/>
      <bottom style="medium">
        <color rgb="FF042AA6"/>
      </bottom>
      <diagonal/>
    </border>
    <border>
      <left style="medium">
        <color rgb="FF042AA6"/>
      </left>
      <right/>
      <top style="medium">
        <color rgb="FF042AA6"/>
      </top>
      <bottom/>
      <diagonal/>
    </border>
    <border>
      <left/>
      <right/>
      <top style="medium">
        <color rgb="FF042AA6"/>
      </top>
      <bottom/>
      <diagonal/>
    </border>
    <border>
      <left/>
      <right style="medium">
        <color rgb="FF042AA6"/>
      </right>
      <top style="medium">
        <color rgb="FF042AA6"/>
      </top>
      <bottom/>
      <diagonal/>
    </border>
  </borders>
  <cellStyleXfs count="2">
    <xf numFmtId="0" fontId="0" fillId="0" borderId="0">
      <alignment vertical="center"/>
    </xf>
    <xf numFmtId="0" fontId="6" fillId="0" borderId="0"/>
  </cellStyleXfs>
  <cellXfs count="25">
    <xf numFmtId="0" fontId="0" fillId="0" borderId="0" xfId="0">
      <alignment vertical="center"/>
    </xf>
    <xf numFmtId="22" fontId="0" fillId="0" borderId="0" xfId="0" applyNumberFormat="1">
      <alignment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3" fillId="0" borderId="4" xfId="0" applyFont="1" applyBorder="1" applyAlignment="1">
      <alignment horizontal="left" vertical="center" wrapText="1"/>
    </xf>
    <xf numFmtId="22" fontId="3" fillId="0" borderId="3" xfId="0" applyNumberFormat="1" applyFont="1" applyBorder="1" applyAlignment="1">
      <alignment horizontal="left" vertical="center" wrapText="1"/>
    </xf>
    <xf numFmtId="0" fontId="4" fillId="0" borderId="4" xfId="0" applyFont="1" applyBorder="1" applyAlignment="1">
      <alignment horizontal="left" vertical="center" wrapText="1"/>
    </xf>
    <xf numFmtId="22" fontId="3" fillId="0" borderId="4" xfId="0" applyNumberFormat="1" applyFont="1" applyBorder="1" applyAlignment="1">
      <alignment horizontal="left" vertical="center" wrapText="1"/>
    </xf>
    <xf numFmtId="0" fontId="7" fillId="0" borderId="0" xfId="1" applyFont="1" applyAlignment="1">
      <alignment horizontal="center"/>
    </xf>
    <xf numFmtId="0" fontId="6" fillId="0" borderId="0" xfId="1" applyAlignment="1">
      <alignment wrapText="1"/>
    </xf>
    <xf numFmtId="0" fontId="6" fillId="0" borderId="0" xfId="1" applyAlignment="1">
      <alignment horizontal="center" wrapText="1"/>
    </xf>
    <xf numFmtId="0" fontId="0" fillId="0" borderId="0" xfId="0" applyAlignment="1">
      <alignment horizontal="center" vertical="center"/>
    </xf>
    <xf numFmtId="0" fontId="7" fillId="0" borderId="0" xfId="1" applyFont="1" applyAlignment="1">
      <alignment horizontal="center" vertical="center"/>
    </xf>
    <xf numFmtId="0" fontId="6" fillId="0" borderId="0" xfId="1" applyAlignment="1">
      <alignment horizontal="center" vertical="center" wrapText="1"/>
    </xf>
    <xf numFmtId="22" fontId="6" fillId="0" borderId="0" xfId="1" applyNumberFormat="1" applyAlignment="1">
      <alignment wrapText="1"/>
    </xf>
    <xf numFmtId="0" fontId="8" fillId="3" borderId="0" xfId="0" applyFont="1" applyFill="1" applyAlignment="1">
      <alignment horizontal="center" vertical="center"/>
    </xf>
    <xf numFmtId="49" fontId="7" fillId="0" borderId="0" xfId="1" applyNumberFormat="1" applyFont="1" applyAlignment="1">
      <alignment horizontal="center"/>
    </xf>
    <xf numFmtId="49" fontId="6" fillId="0" borderId="0" xfId="1" applyNumberFormat="1" applyAlignment="1">
      <alignment wrapText="1"/>
    </xf>
    <xf numFmtId="0" fontId="5" fillId="0" borderId="7" xfId="0" applyFont="1" applyBorder="1" applyAlignment="1">
      <alignment wrapText="1"/>
    </xf>
    <xf numFmtId="0" fontId="5" fillId="0" borderId="8" xfId="0" applyFont="1" applyBorder="1" applyAlignment="1">
      <alignment wrapText="1"/>
    </xf>
    <xf numFmtId="0" fontId="5" fillId="0" borderId="9" xfId="0" applyFont="1" applyBorder="1" applyAlignment="1">
      <alignment wrapText="1"/>
    </xf>
    <xf numFmtId="0" fontId="5" fillId="0" borderId="5" xfId="0" applyFont="1" applyBorder="1" applyAlignment="1">
      <alignment wrapText="1"/>
    </xf>
    <xf numFmtId="0" fontId="5" fillId="0" borderId="6" xfId="0" applyFont="1" applyBorder="1" applyAlignment="1">
      <alignment wrapText="1"/>
    </xf>
    <xf numFmtId="0" fontId="5" fillId="0" borderId="4" xfId="0" applyFont="1" applyBorder="1" applyAlignment="1">
      <alignment wrapText="1"/>
    </xf>
    <xf numFmtId="22" fontId="3" fillId="0" borderId="0" xfId="0" applyNumberFormat="1" applyFont="1" applyBorder="1" applyAlignment="1">
      <alignment horizontal="left" vertical="center" wrapText="1"/>
    </xf>
  </cellXfs>
  <cellStyles count="2">
    <cellStyle name="표준" xfId="0" builtinId="0"/>
    <cellStyle name="표준 2" xfId="1" xr:uid="{A8C323DC-9615-4B2F-A148-ED59CF98E26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1136A-745A-4B3D-9D28-B4131B155A98}">
  <dimension ref="A1:L37"/>
  <sheetViews>
    <sheetView workbookViewId="0">
      <selection activeCell="M1" sqref="M1"/>
    </sheetView>
  </sheetViews>
  <sheetFormatPr defaultRowHeight="17.399999999999999" x14ac:dyDescent="0.4"/>
  <cols>
    <col min="1" max="1" width="12.5" style="11" bestFit="1" customWidth="1"/>
    <col min="2" max="2" width="39.5" customWidth="1"/>
    <col min="3" max="3" width="30.5" bestFit="1" customWidth="1"/>
    <col min="4" max="4" width="21.3984375" bestFit="1" customWidth="1"/>
    <col min="5" max="5" width="18.09765625" bestFit="1" customWidth="1"/>
    <col min="6" max="6" width="20.5" style="11" bestFit="1" customWidth="1"/>
    <col min="7" max="7" width="15.59765625" bestFit="1" customWidth="1"/>
    <col min="8" max="8" width="23.59765625" customWidth="1"/>
    <col min="9" max="9" width="11.59765625" bestFit="1" customWidth="1"/>
    <col min="10" max="10" width="15.3984375" style="11" customWidth="1"/>
    <col min="11" max="11" width="19.5" bestFit="1" customWidth="1"/>
    <col min="12" max="12" width="15.5" bestFit="1" customWidth="1"/>
    <col min="16" max="16" width="21.09765625" bestFit="1" customWidth="1"/>
  </cols>
  <sheetData>
    <row r="1" spans="1:12" x14ac:dyDescent="0.4">
      <c r="A1" s="15" t="s">
        <v>81</v>
      </c>
      <c r="B1" s="8" t="s">
        <v>6</v>
      </c>
      <c r="C1" s="8" t="s">
        <v>7</v>
      </c>
      <c r="D1" s="8" t="s">
        <v>8</v>
      </c>
      <c r="E1" s="8" t="s">
        <v>9</v>
      </c>
      <c r="F1" s="8" t="s">
        <v>10</v>
      </c>
      <c r="G1" s="8" t="s">
        <v>11</v>
      </c>
      <c r="H1" s="8" t="s">
        <v>12</v>
      </c>
      <c r="I1" s="8" t="s">
        <v>13</v>
      </c>
      <c r="J1" s="12" t="s">
        <v>14</v>
      </c>
      <c r="K1" s="16" t="s">
        <v>15</v>
      </c>
      <c r="L1" s="1"/>
    </row>
    <row r="2" spans="1:12" ht="34.799999999999997" x14ac:dyDescent="0.4">
      <c r="A2" s="11" t="s">
        <v>82</v>
      </c>
      <c r="B2" s="9" t="s">
        <v>16</v>
      </c>
      <c r="C2" s="9">
        <v>9307</v>
      </c>
      <c r="D2" s="9" t="s">
        <v>17</v>
      </c>
      <c r="E2" s="9" t="s">
        <v>18</v>
      </c>
      <c r="F2" s="10"/>
      <c r="G2" s="9" t="s">
        <v>19</v>
      </c>
      <c r="H2" s="9"/>
      <c r="I2" s="9" t="s">
        <v>20</v>
      </c>
      <c r="J2" s="13"/>
      <c r="K2" s="17" t="s">
        <v>21</v>
      </c>
      <c r="L2" s="1"/>
    </row>
    <row r="3" spans="1:12" ht="34.799999999999997" x14ac:dyDescent="0.4">
      <c r="A3" s="11" t="s">
        <v>83</v>
      </c>
      <c r="B3" s="9" t="s">
        <v>16</v>
      </c>
      <c r="C3" s="9">
        <v>8968</v>
      </c>
      <c r="D3" s="9" t="s">
        <v>22</v>
      </c>
      <c r="E3" s="9" t="s">
        <v>18</v>
      </c>
      <c r="F3" s="10"/>
      <c r="G3" s="9" t="s">
        <v>23</v>
      </c>
      <c r="H3" s="9"/>
      <c r="I3" s="9" t="s">
        <v>24</v>
      </c>
      <c r="J3" s="13"/>
      <c r="K3" s="17" t="s">
        <v>25</v>
      </c>
      <c r="L3" s="1"/>
    </row>
    <row r="4" spans="1:12" ht="34.799999999999997" x14ac:dyDescent="0.4">
      <c r="A4" s="11" t="s">
        <v>83</v>
      </c>
      <c r="B4" s="9" t="s">
        <v>16</v>
      </c>
      <c r="C4" s="9">
        <v>8628</v>
      </c>
      <c r="D4" s="9" t="s">
        <v>26</v>
      </c>
      <c r="E4" s="9" t="s">
        <v>18</v>
      </c>
      <c r="F4" s="10"/>
      <c r="G4" s="9" t="s">
        <v>23</v>
      </c>
      <c r="H4" s="9"/>
      <c r="I4" s="9" t="s">
        <v>24</v>
      </c>
      <c r="J4" s="13"/>
      <c r="K4" s="17" t="s">
        <v>27</v>
      </c>
    </row>
    <row r="5" spans="1:12" ht="52.2" x14ac:dyDescent="0.4">
      <c r="A5" s="11" t="s">
        <v>83</v>
      </c>
      <c r="B5" s="9" t="s">
        <v>16</v>
      </c>
      <c r="C5" s="9">
        <v>8573</v>
      </c>
      <c r="D5" s="9" t="s">
        <v>28</v>
      </c>
      <c r="E5" s="9" t="s">
        <v>18</v>
      </c>
      <c r="F5" s="10"/>
      <c r="G5" s="9"/>
      <c r="H5" s="9"/>
      <c r="I5" s="9" t="s">
        <v>29</v>
      </c>
      <c r="J5" s="13"/>
      <c r="K5" s="17" t="s">
        <v>30</v>
      </c>
    </row>
    <row r="6" spans="1:12" ht="34.799999999999997" x14ac:dyDescent="0.4">
      <c r="A6" s="11" t="s">
        <v>83</v>
      </c>
      <c r="B6" s="9" t="s">
        <v>16</v>
      </c>
      <c r="C6" s="9">
        <v>8457</v>
      </c>
      <c r="D6" s="9" t="s">
        <v>31</v>
      </c>
      <c r="E6" s="9" t="s">
        <v>18</v>
      </c>
      <c r="F6" s="10"/>
      <c r="G6" s="9" t="s">
        <v>23</v>
      </c>
      <c r="H6" s="9"/>
      <c r="I6" s="9" t="s">
        <v>24</v>
      </c>
      <c r="J6" s="13"/>
      <c r="K6" s="17" t="s">
        <v>32</v>
      </c>
    </row>
    <row r="7" spans="1:12" ht="34.799999999999997" x14ac:dyDescent="0.4">
      <c r="A7" s="11" t="s">
        <v>84</v>
      </c>
      <c r="B7" s="9" t="s">
        <v>16</v>
      </c>
      <c r="C7" s="9">
        <v>7639</v>
      </c>
      <c r="D7" s="9" t="s">
        <v>33</v>
      </c>
      <c r="E7" s="9" t="s">
        <v>18</v>
      </c>
      <c r="F7" s="10"/>
      <c r="G7" s="9" t="s">
        <v>34</v>
      </c>
      <c r="H7" s="9"/>
      <c r="I7" s="9" t="s">
        <v>35</v>
      </c>
      <c r="J7" s="13"/>
      <c r="K7" s="17" t="s">
        <v>36</v>
      </c>
    </row>
    <row r="8" spans="1:12" ht="34.799999999999997" x14ac:dyDescent="0.4">
      <c r="A8" s="11" t="s">
        <v>84</v>
      </c>
      <c r="B8" s="9" t="s">
        <v>16</v>
      </c>
      <c r="C8" s="9">
        <v>7603</v>
      </c>
      <c r="D8" s="9" t="s">
        <v>37</v>
      </c>
      <c r="E8" s="9" t="s">
        <v>38</v>
      </c>
      <c r="F8" s="10"/>
      <c r="G8" s="9" t="s">
        <v>39</v>
      </c>
      <c r="H8" s="9"/>
      <c r="I8" s="9" t="s">
        <v>24</v>
      </c>
      <c r="J8" s="13"/>
      <c r="K8" s="17" t="s">
        <v>40</v>
      </c>
    </row>
    <row r="9" spans="1:12" ht="34.799999999999997" x14ac:dyDescent="0.4">
      <c r="A9" s="11" t="s">
        <v>84</v>
      </c>
      <c r="B9" s="9" t="s">
        <v>16</v>
      </c>
      <c r="C9" s="9">
        <v>7415</v>
      </c>
      <c r="D9" s="9" t="s">
        <v>41</v>
      </c>
      <c r="E9" s="9" t="s">
        <v>18</v>
      </c>
      <c r="F9" s="10"/>
      <c r="G9" s="9" t="s">
        <v>42</v>
      </c>
      <c r="H9" s="9"/>
      <c r="I9" s="9" t="s">
        <v>24</v>
      </c>
      <c r="J9" s="13"/>
      <c r="K9" s="17" t="s">
        <v>43</v>
      </c>
    </row>
    <row r="10" spans="1:12" ht="34.799999999999997" x14ac:dyDescent="0.4">
      <c r="A10" s="11" t="s">
        <v>84</v>
      </c>
      <c r="B10" s="9" t="s">
        <v>16</v>
      </c>
      <c r="C10" s="9">
        <v>7397</v>
      </c>
      <c r="D10" s="9" t="s">
        <v>44</v>
      </c>
      <c r="E10" s="9" t="s">
        <v>18</v>
      </c>
      <c r="F10" s="10"/>
      <c r="G10" s="9" t="s">
        <v>39</v>
      </c>
      <c r="H10" s="9"/>
      <c r="I10" s="9" t="s">
        <v>24</v>
      </c>
      <c r="J10" s="13"/>
      <c r="K10" s="17" t="s">
        <v>45</v>
      </c>
    </row>
    <row r="11" spans="1:12" ht="34.799999999999997" x14ac:dyDescent="0.4">
      <c r="A11" s="11" t="s">
        <v>84</v>
      </c>
      <c r="B11" s="9" t="s">
        <v>16</v>
      </c>
      <c r="C11" s="9">
        <v>7141</v>
      </c>
      <c r="D11" s="9" t="s">
        <v>46</v>
      </c>
      <c r="E11" s="9" t="s">
        <v>18</v>
      </c>
      <c r="F11" s="10"/>
      <c r="G11" s="9" t="s">
        <v>23</v>
      </c>
      <c r="H11" s="9"/>
      <c r="I11" s="9" t="s">
        <v>47</v>
      </c>
      <c r="J11" s="13"/>
      <c r="K11" s="17" t="s">
        <v>48</v>
      </c>
    </row>
    <row r="12" spans="1:12" ht="34.799999999999997" x14ac:dyDescent="0.4">
      <c r="A12" s="11" t="s">
        <v>84</v>
      </c>
      <c r="B12" s="9" t="s">
        <v>16</v>
      </c>
      <c r="C12" s="9">
        <v>7116</v>
      </c>
      <c r="D12" s="9" t="s">
        <v>49</v>
      </c>
      <c r="E12" s="9" t="s">
        <v>18</v>
      </c>
      <c r="F12" s="10"/>
      <c r="G12" s="9" t="s">
        <v>42</v>
      </c>
      <c r="H12" s="9"/>
      <c r="I12" s="9" t="s">
        <v>24</v>
      </c>
      <c r="J12" s="13"/>
      <c r="K12" s="17" t="s">
        <v>50</v>
      </c>
    </row>
    <row r="13" spans="1:12" ht="34.799999999999997" x14ac:dyDescent="0.4">
      <c r="A13" s="11" t="s">
        <v>84</v>
      </c>
      <c r="B13" s="9" t="s">
        <v>16</v>
      </c>
      <c r="C13" s="9">
        <v>7037</v>
      </c>
      <c r="D13" s="9" t="s">
        <v>51</v>
      </c>
      <c r="E13" s="9" t="s">
        <v>18</v>
      </c>
      <c r="F13" s="10"/>
      <c r="G13" s="9" t="s">
        <v>52</v>
      </c>
      <c r="H13" s="9"/>
      <c r="I13" s="9" t="s">
        <v>24</v>
      </c>
      <c r="J13" s="13"/>
      <c r="K13" s="17" t="s">
        <v>53</v>
      </c>
    </row>
    <row r="14" spans="1:12" ht="34.799999999999997" x14ac:dyDescent="0.4">
      <c r="A14" s="11" t="s">
        <v>84</v>
      </c>
      <c r="B14" s="9" t="s">
        <v>16</v>
      </c>
      <c r="C14" s="9">
        <v>6985</v>
      </c>
      <c r="D14" s="9" t="s">
        <v>54</v>
      </c>
      <c r="E14" s="9" t="s">
        <v>18</v>
      </c>
      <c r="F14" s="10"/>
      <c r="G14" s="9" t="s">
        <v>55</v>
      </c>
      <c r="H14" s="9"/>
      <c r="I14" s="9" t="s">
        <v>24</v>
      </c>
      <c r="J14" s="13"/>
      <c r="K14" s="17" t="s">
        <v>56</v>
      </c>
    </row>
    <row r="15" spans="1:12" ht="34.799999999999997" x14ac:dyDescent="0.4">
      <c r="A15" s="11" t="s">
        <v>85</v>
      </c>
      <c r="B15" s="9" t="s">
        <v>16</v>
      </c>
      <c r="C15" s="9">
        <v>6472</v>
      </c>
      <c r="D15" s="9" t="s">
        <v>57</v>
      </c>
      <c r="E15" s="9" t="s">
        <v>18</v>
      </c>
      <c r="F15" s="10"/>
      <c r="G15" s="9" t="s">
        <v>23</v>
      </c>
      <c r="H15" s="9"/>
      <c r="I15" s="9" t="s">
        <v>24</v>
      </c>
      <c r="J15" s="13"/>
      <c r="K15" s="17" t="s">
        <v>58</v>
      </c>
    </row>
    <row r="16" spans="1:12" ht="34.799999999999997" x14ac:dyDescent="0.4">
      <c r="A16" s="11" t="s">
        <v>85</v>
      </c>
      <c r="B16" s="9" t="s">
        <v>16</v>
      </c>
      <c r="C16" s="9">
        <v>6448</v>
      </c>
      <c r="D16" s="9" t="s">
        <v>37</v>
      </c>
      <c r="E16" s="9" t="s">
        <v>18</v>
      </c>
      <c r="F16" s="10"/>
      <c r="G16" s="9" t="s">
        <v>39</v>
      </c>
      <c r="H16" s="9"/>
      <c r="I16" s="9" t="s">
        <v>24</v>
      </c>
      <c r="J16" s="13"/>
      <c r="K16" s="17" t="s">
        <v>59</v>
      </c>
    </row>
    <row r="17" spans="1:11" ht="34.799999999999997" x14ac:dyDescent="0.4">
      <c r="A17" s="11" t="s">
        <v>85</v>
      </c>
      <c r="B17" s="9" t="s">
        <v>16</v>
      </c>
      <c r="C17" s="9">
        <v>6190</v>
      </c>
      <c r="D17" s="9" t="s">
        <v>60</v>
      </c>
      <c r="E17" s="9" t="s">
        <v>18</v>
      </c>
      <c r="F17" s="10"/>
      <c r="G17" s="9" t="s">
        <v>55</v>
      </c>
      <c r="H17" s="9"/>
      <c r="I17" s="9" t="s">
        <v>24</v>
      </c>
      <c r="J17" s="13"/>
      <c r="K17" s="17" t="s">
        <v>61</v>
      </c>
    </row>
    <row r="18" spans="1:11" ht="34.799999999999997" x14ac:dyDescent="0.4">
      <c r="A18" s="11" t="s">
        <v>85</v>
      </c>
      <c r="B18" s="9" t="s">
        <v>16</v>
      </c>
      <c r="C18" s="9">
        <v>6041</v>
      </c>
      <c r="D18" s="9" t="s">
        <v>62</v>
      </c>
      <c r="E18" s="9" t="s">
        <v>18</v>
      </c>
      <c r="F18" s="10"/>
      <c r="G18" s="9" t="s">
        <v>23</v>
      </c>
      <c r="H18" s="9"/>
      <c r="I18" s="9" t="s">
        <v>24</v>
      </c>
      <c r="J18" s="13"/>
      <c r="K18" s="17" t="s">
        <v>63</v>
      </c>
    </row>
    <row r="19" spans="1:11" ht="34.799999999999997" x14ac:dyDescent="0.4">
      <c r="A19" s="11" t="s">
        <v>86</v>
      </c>
      <c r="B19" s="9" t="s">
        <v>16</v>
      </c>
      <c r="C19" s="9">
        <v>5484</v>
      </c>
      <c r="D19" s="9" t="s">
        <v>64</v>
      </c>
      <c r="E19" s="9" t="s">
        <v>18</v>
      </c>
      <c r="F19" s="10"/>
      <c r="G19" s="9" t="s">
        <v>65</v>
      </c>
      <c r="H19" s="9"/>
      <c r="I19" s="9" t="s">
        <v>24</v>
      </c>
      <c r="J19" s="13"/>
      <c r="K19" s="17" t="s">
        <v>66</v>
      </c>
    </row>
    <row r="20" spans="1:11" ht="52.2" x14ac:dyDescent="0.4">
      <c r="A20" s="11" t="s">
        <v>86</v>
      </c>
      <c r="B20" s="9" t="s">
        <v>16</v>
      </c>
      <c r="C20" s="9">
        <v>5231</v>
      </c>
      <c r="D20" s="9" t="s">
        <v>67</v>
      </c>
      <c r="E20" s="9" t="s">
        <v>18</v>
      </c>
      <c r="F20" s="10"/>
      <c r="G20" s="9" t="s">
        <v>68</v>
      </c>
      <c r="H20" s="9"/>
      <c r="I20" s="9" t="s">
        <v>47</v>
      </c>
      <c r="J20" s="13"/>
      <c r="K20" s="17" t="s">
        <v>69</v>
      </c>
    </row>
    <row r="21" spans="1:11" ht="52.2" x14ac:dyDescent="0.4">
      <c r="A21" s="11" t="s">
        <v>86</v>
      </c>
      <c r="B21" s="9" t="s">
        <v>16</v>
      </c>
      <c r="C21" s="9">
        <v>5230</v>
      </c>
      <c r="D21" s="9" t="s">
        <v>70</v>
      </c>
      <c r="E21" s="9" t="s">
        <v>18</v>
      </c>
      <c r="F21" s="10"/>
      <c r="G21" s="9" t="s">
        <v>68</v>
      </c>
      <c r="H21" s="9"/>
      <c r="I21" s="9" t="s">
        <v>47</v>
      </c>
      <c r="J21" s="13"/>
      <c r="K21" s="17" t="s">
        <v>71</v>
      </c>
    </row>
    <row r="22" spans="1:11" ht="34.799999999999997" x14ac:dyDescent="0.4">
      <c r="A22" s="11" t="s">
        <v>86</v>
      </c>
      <c r="B22" s="9" t="s">
        <v>16</v>
      </c>
      <c r="C22" s="9">
        <v>4935</v>
      </c>
      <c r="D22" s="9" t="s">
        <v>72</v>
      </c>
      <c r="E22" s="9" t="s">
        <v>18</v>
      </c>
      <c r="F22" s="10"/>
      <c r="G22" s="9" t="s">
        <v>23</v>
      </c>
      <c r="H22" s="9"/>
      <c r="I22" s="9" t="s">
        <v>24</v>
      </c>
      <c r="J22" s="13"/>
      <c r="K22" s="17" t="s">
        <v>73</v>
      </c>
    </row>
    <row r="23" spans="1:11" ht="52.2" x14ac:dyDescent="0.4">
      <c r="A23" s="11" t="s">
        <v>86</v>
      </c>
      <c r="B23" s="9" t="s">
        <v>16</v>
      </c>
      <c r="C23" s="9">
        <v>4798</v>
      </c>
      <c r="D23" s="9" t="s">
        <v>74</v>
      </c>
      <c r="E23" s="9" t="s">
        <v>18</v>
      </c>
      <c r="F23" s="10"/>
      <c r="G23" s="9" t="s">
        <v>42</v>
      </c>
      <c r="H23" s="9"/>
      <c r="I23" s="9" t="s">
        <v>24</v>
      </c>
      <c r="J23" s="13"/>
      <c r="K23" s="17" t="s">
        <v>75</v>
      </c>
    </row>
    <row r="24" spans="1:11" ht="52.2" x14ac:dyDescent="0.4">
      <c r="A24" s="11" t="s">
        <v>86</v>
      </c>
      <c r="B24" s="9" t="s">
        <v>16</v>
      </c>
      <c r="C24" s="9">
        <v>4797</v>
      </c>
      <c r="D24" s="9" t="s">
        <v>74</v>
      </c>
      <c r="E24" s="9" t="s">
        <v>18</v>
      </c>
      <c r="F24" s="10"/>
      <c r="G24" s="9" t="s">
        <v>42</v>
      </c>
      <c r="H24" s="9"/>
      <c r="I24" s="9" t="s">
        <v>47</v>
      </c>
      <c r="J24" s="13"/>
      <c r="K24" s="17" t="s">
        <v>75</v>
      </c>
    </row>
    <row r="25" spans="1:11" ht="52.2" x14ac:dyDescent="0.4">
      <c r="A25" s="11" t="s">
        <v>87</v>
      </c>
      <c r="B25" s="9" t="s">
        <v>16</v>
      </c>
      <c r="C25" s="9">
        <v>4261</v>
      </c>
      <c r="D25" s="9" t="s">
        <v>76</v>
      </c>
      <c r="E25" s="9" t="s">
        <v>18</v>
      </c>
      <c r="F25" s="10"/>
      <c r="G25" s="9" t="s">
        <v>77</v>
      </c>
      <c r="H25" s="9"/>
      <c r="I25" s="9" t="s">
        <v>47</v>
      </c>
      <c r="J25" s="13"/>
      <c r="K25" s="17" t="s">
        <v>78</v>
      </c>
    </row>
    <row r="26" spans="1:11" ht="69.599999999999994" x14ac:dyDescent="0.4">
      <c r="A26" s="11" t="s">
        <v>87</v>
      </c>
      <c r="B26" s="9" t="s">
        <v>16</v>
      </c>
      <c r="C26" s="9">
        <v>3924</v>
      </c>
      <c r="D26" s="9" t="s">
        <v>79</v>
      </c>
      <c r="E26" s="9" t="s">
        <v>18</v>
      </c>
      <c r="F26" s="10"/>
      <c r="G26" s="9" t="s">
        <v>55</v>
      </c>
      <c r="H26" s="9"/>
      <c r="I26" s="9" t="s">
        <v>24</v>
      </c>
      <c r="J26" s="13"/>
      <c r="K26" s="17" t="s">
        <v>80</v>
      </c>
    </row>
    <row r="27" spans="1:11" x14ac:dyDescent="0.4">
      <c r="A27" s="11" t="s">
        <v>88</v>
      </c>
      <c r="B27" s="9"/>
      <c r="C27" s="9"/>
      <c r="D27" s="9"/>
      <c r="E27" s="9"/>
      <c r="F27" s="10"/>
      <c r="G27" s="9"/>
      <c r="H27" s="9"/>
      <c r="I27" s="9"/>
      <c r="J27" s="13"/>
      <c r="K27" s="14"/>
    </row>
    <row r="28" spans="1:11" x14ac:dyDescent="0.4">
      <c r="A28" s="11" t="s">
        <v>88</v>
      </c>
      <c r="B28" s="9"/>
      <c r="C28" s="9"/>
      <c r="D28" s="9"/>
      <c r="E28" s="9"/>
      <c r="F28" s="10"/>
      <c r="G28" s="9"/>
      <c r="H28" s="9"/>
      <c r="I28" s="9"/>
      <c r="J28" s="13"/>
      <c r="K28" s="9"/>
    </row>
    <row r="29" spans="1:11" x14ac:dyDescent="0.4">
      <c r="A29" s="11" t="s">
        <v>88</v>
      </c>
      <c r="B29" s="9"/>
      <c r="C29" s="9"/>
      <c r="D29" s="9"/>
      <c r="E29" s="9"/>
      <c r="F29" s="10"/>
      <c r="G29" s="9"/>
      <c r="H29" s="9"/>
      <c r="I29" s="9"/>
      <c r="J29" s="13"/>
      <c r="K29" s="9"/>
    </row>
    <row r="30" spans="1:11" x14ac:dyDescent="0.4">
      <c r="A30" s="11" t="s">
        <v>88</v>
      </c>
      <c r="B30" s="9"/>
      <c r="C30" s="9"/>
      <c r="D30" s="9"/>
      <c r="E30" s="9"/>
      <c r="F30" s="10"/>
      <c r="G30" s="9"/>
      <c r="H30" s="9"/>
      <c r="I30" s="9"/>
      <c r="J30" s="13"/>
      <c r="K30" s="9"/>
    </row>
    <row r="31" spans="1:11" x14ac:dyDescent="0.4">
      <c r="A31" s="11" t="s">
        <v>88</v>
      </c>
      <c r="B31" s="9"/>
      <c r="C31" s="9"/>
      <c r="D31" s="9"/>
      <c r="E31" s="9"/>
      <c r="F31" s="10"/>
      <c r="G31" s="9"/>
      <c r="H31" s="9"/>
      <c r="I31" s="9"/>
      <c r="J31" s="13"/>
      <c r="K31" s="9"/>
    </row>
    <row r="32" spans="1:11" x14ac:dyDescent="0.4">
      <c r="A32" s="11" t="s">
        <v>88</v>
      </c>
      <c r="B32" s="9"/>
      <c r="C32" s="9"/>
      <c r="D32" s="9"/>
      <c r="E32" s="9"/>
      <c r="F32" s="10"/>
      <c r="G32" s="9"/>
      <c r="H32" s="9"/>
      <c r="I32" s="9"/>
      <c r="J32" s="13"/>
      <c r="K32" s="9"/>
    </row>
    <row r="33" spans="1:11" x14ac:dyDescent="0.4">
      <c r="A33" s="11" t="s">
        <v>88</v>
      </c>
      <c r="B33" s="9"/>
      <c r="C33" s="9"/>
      <c r="D33" s="9"/>
      <c r="E33" s="9"/>
      <c r="F33" s="10"/>
      <c r="G33" s="9"/>
      <c r="H33" s="9"/>
      <c r="I33" s="9"/>
      <c r="J33" s="13"/>
      <c r="K33" s="9"/>
    </row>
    <row r="34" spans="1:11" x14ac:dyDescent="0.4">
      <c r="A34" s="11" t="s">
        <v>88</v>
      </c>
      <c r="B34" s="9"/>
      <c r="C34" s="9"/>
      <c r="D34" s="9"/>
      <c r="E34" s="9"/>
      <c r="F34" s="10"/>
      <c r="G34" s="9"/>
      <c r="H34" s="9"/>
      <c r="I34" s="9"/>
      <c r="J34" s="13"/>
      <c r="K34" s="9"/>
    </row>
    <row r="35" spans="1:11" x14ac:dyDescent="0.4">
      <c r="A35" s="11" t="s">
        <v>88</v>
      </c>
      <c r="B35" s="9"/>
      <c r="C35" s="9"/>
      <c r="D35" s="9"/>
      <c r="E35" s="9"/>
      <c r="F35" s="10"/>
      <c r="G35" s="9"/>
      <c r="H35" s="9"/>
      <c r="I35" s="9"/>
      <c r="J35" s="13"/>
      <c r="K35" s="9"/>
    </row>
    <row r="36" spans="1:11" x14ac:dyDescent="0.4">
      <c r="A36" s="11" t="s">
        <v>88</v>
      </c>
      <c r="B36" s="9"/>
      <c r="C36" s="9"/>
      <c r="D36" s="9"/>
      <c r="E36" s="9"/>
      <c r="F36" s="10"/>
      <c r="G36" s="9"/>
      <c r="H36" s="9"/>
      <c r="I36" s="9"/>
      <c r="J36" s="13"/>
      <c r="K36" s="9"/>
    </row>
    <row r="37" spans="1:11" x14ac:dyDescent="0.4">
      <c r="A37" s="11" t="s">
        <v>88</v>
      </c>
      <c r="B37" s="9"/>
      <c r="C37" s="9"/>
      <c r="D37" s="9"/>
      <c r="E37" s="9"/>
      <c r="F37" s="10"/>
      <c r="G37" s="9"/>
      <c r="H37" s="9"/>
      <c r="I37" s="9"/>
      <c r="J37" s="13"/>
      <c r="K37" s="9"/>
    </row>
  </sheetData>
  <autoFilter ref="A1:K37" xr:uid="{8E81136A-745A-4B3D-9D28-B4131B155A98}"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1ABD7-639C-4B42-AB1E-F32A9CDD3F66}">
  <dimension ref="A1:K8"/>
  <sheetViews>
    <sheetView tabSelected="1" workbookViewId="0">
      <selection activeCell="K1" sqref="K1"/>
    </sheetView>
  </sheetViews>
  <sheetFormatPr defaultRowHeight="17.399999999999999" x14ac:dyDescent="0.4"/>
  <cols>
    <col min="1" max="1" width="12.5" bestFit="1" customWidth="1"/>
    <col min="4" max="4" width="12.5" bestFit="1" customWidth="1"/>
  </cols>
  <sheetData>
    <row r="1" spans="1:11" ht="24.6" thickBot="1" x14ac:dyDescent="0.45">
      <c r="A1" s="2" t="s">
        <v>0</v>
      </c>
      <c r="B1" s="3" t="s">
        <v>1</v>
      </c>
      <c r="C1" s="3" t="s">
        <v>4</v>
      </c>
      <c r="D1" s="3" t="s">
        <v>2</v>
      </c>
      <c r="E1" s="3" t="s">
        <v>5</v>
      </c>
      <c r="K1" t="s">
        <v>89</v>
      </c>
    </row>
    <row r="2" spans="1:11" ht="24.6" customHeight="1" thickBot="1" x14ac:dyDescent="0.45">
      <c r="A2" s="5" t="str">
        <f>IFERROR(VLOOKUP(K1,ShipmentDownload!A2:K200,11,0),"")</f>
        <v>25-May-2023 14:22:50</v>
      </c>
      <c r="B2" s="4"/>
      <c r="C2" s="6"/>
      <c r="D2" s="7"/>
      <c r="E2" s="4"/>
      <c r="K2" s="24"/>
    </row>
    <row r="3" spans="1:11" ht="24.6" customHeight="1" thickBot="1" x14ac:dyDescent="0.45">
      <c r="A3" s="5" t="str">
        <f>IFERROR(VLOOKUP(#REF!,ShipmentDownload!A3:K201,11,0),"")</f>
        <v/>
      </c>
      <c r="B3" s="4"/>
      <c r="C3" s="6"/>
      <c r="D3" s="7"/>
      <c r="E3" s="4"/>
    </row>
    <row r="4" spans="1:11" ht="24.6" customHeight="1" thickBot="1" x14ac:dyDescent="0.45">
      <c r="A4" s="5" t="str">
        <f>IFERROR(VLOOKUP(K3,ShipmentDownload!A4:K202,11,0),"")</f>
        <v/>
      </c>
      <c r="B4" s="4"/>
      <c r="C4" s="6"/>
      <c r="D4" s="7"/>
      <c r="E4" s="4"/>
    </row>
    <row r="5" spans="1:11" ht="24.6" customHeight="1" thickBot="1" x14ac:dyDescent="0.45">
      <c r="A5" s="5" t="str">
        <f>IFERROR(VLOOKUP(K4,ShipmentDownload!A5:K203,11,0),"")</f>
        <v/>
      </c>
      <c r="B5" s="4"/>
      <c r="C5" s="6"/>
      <c r="D5" s="7"/>
      <c r="E5" s="4"/>
    </row>
    <row r="6" spans="1:11" ht="24.6" customHeight="1" thickBot="1" x14ac:dyDescent="0.45">
      <c r="A6" s="5" t="str">
        <f>IFERROR(VLOOKUP(K5,ShipmentDownload!A6:K204,11,0),"")</f>
        <v/>
      </c>
      <c r="B6" s="4"/>
      <c r="C6" s="6"/>
      <c r="D6" s="7"/>
      <c r="E6" s="4"/>
    </row>
    <row r="7" spans="1:11" ht="24.6" customHeight="1" x14ac:dyDescent="0.4">
      <c r="A7" s="18" t="s">
        <v>3</v>
      </c>
      <c r="B7" s="19"/>
      <c r="C7" s="19"/>
      <c r="D7" s="19"/>
      <c r="E7" s="20"/>
    </row>
    <row r="8" spans="1:11" ht="24.6" customHeight="1" thickBot="1" x14ac:dyDescent="0.45">
      <c r="A8" s="21"/>
      <c r="B8" s="22"/>
      <c r="C8" s="22"/>
      <c r="D8" s="22"/>
      <c r="E8" s="23"/>
    </row>
  </sheetData>
  <mergeCells count="1">
    <mergeCell ref="A7:E8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ShipmentDownload</vt:lpstr>
      <vt:lpstr>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Isaac Shin</dc:creator>
  <cp:lastModifiedBy>Isaac Shin</cp:lastModifiedBy>
  <dcterms:created xsi:type="dcterms:W3CDTF">2023-07-26T07:17:03Z</dcterms:created>
  <dcterms:modified xsi:type="dcterms:W3CDTF">2023-09-11T08:29:17Z</dcterms:modified>
</cp:coreProperties>
</file>